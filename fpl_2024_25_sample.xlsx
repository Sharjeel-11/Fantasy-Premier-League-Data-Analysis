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mag\Downloads\"/>
    </mc:Choice>
  </mc:AlternateContent>
  <xr:revisionPtr revIDLastSave="0" documentId="13_ncr:1_{8A451F7A-C319-4869-8A27-7F72F4EADECD}" xr6:coauthVersionLast="47" xr6:coauthVersionMax="47" xr10:uidLastSave="{00000000-0000-0000-0000-000000000000}"/>
  <bookViews>
    <workbookView xWindow="-120" yWindow="-120" windowWidth="29040" windowHeight="15720" xr2:uid="{94AB8971-CB8A-4378-AF27-4DEFBF762B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2" i="1"/>
  <c r="N3" i="1"/>
  <c r="N4" i="1"/>
  <c r="N5" i="1"/>
  <c r="N6" i="1"/>
  <c r="N7" i="1"/>
  <c r="N8" i="1"/>
  <c r="N9" i="1"/>
  <c r="N10" i="1"/>
  <c r="N11" i="1"/>
  <c r="N2" i="1"/>
  <c r="M3" i="1"/>
  <c r="M4" i="1"/>
  <c r="M5" i="1"/>
  <c r="M6" i="1"/>
  <c r="M7" i="1"/>
  <c r="M8" i="1"/>
  <c r="M9" i="1"/>
  <c r="M10" i="1"/>
  <c r="M11" i="1"/>
  <c r="M2" i="1"/>
</calcChain>
</file>

<file path=xl/sharedStrings.xml><?xml version="1.0" encoding="utf-8"?>
<sst xmlns="http://schemas.openxmlformats.org/spreadsheetml/2006/main" count="43" uniqueCount="33">
  <si>
    <t>Player</t>
  </si>
  <si>
    <t>Team</t>
  </si>
  <si>
    <t>Position</t>
  </si>
  <si>
    <t>Price</t>
  </si>
  <si>
    <t>Minutes</t>
  </si>
  <si>
    <t>Goals</t>
  </si>
  <si>
    <t>Assists</t>
  </si>
  <si>
    <t>xG</t>
  </si>
  <si>
    <t>xA</t>
  </si>
  <si>
    <t>Points</t>
  </si>
  <si>
    <t>Erling Haaland</t>
  </si>
  <si>
    <t>Man City</t>
  </si>
  <si>
    <t>FWD</t>
  </si>
  <si>
    <t>Cole Palmer</t>
  </si>
  <si>
    <t>Chelsea</t>
  </si>
  <si>
    <t>MID</t>
  </si>
  <si>
    <t>Bukayo Saka</t>
  </si>
  <si>
    <t>Arsenal</t>
  </si>
  <si>
    <t>Mohamed Salah</t>
  </si>
  <si>
    <t>Liverpool</t>
  </si>
  <si>
    <t>Phil Foden</t>
  </si>
  <si>
    <t>Ollie Watkins</t>
  </si>
  <si>
    <t>Aston Villa</t>
  </si>
  <si>
    <t>Anthony Gordon</t>
  </si>
  <si>
    <t>Newcastle</t>
  </si>
  <si>
    <t>Son Heung-Min</t>
  </si>
  <si>
    <t>Tottenham</t>
  </si>
  <si>
    <t>Darwin Núñez</t>
  </si>
  <si>
    <t>Pedro Porro</t>
  </si>
  <si>
    <t>DEF</t>
  </si>
  <si>
    <t>Points per Million</t>
  </si>
  <si>
    <t>Expected Goal Involvement (xGI)</t>
  </si>
  <si>
    <t>Efficiency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</si>
</sst>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</cellXfs>
  <cellStyles count="1">
    <cellStyle name="Normal" xfId="0" builtinId="0"/>
  </cellStyles>
  <dxfs count="7"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CC02B-C4D9-441A-BE00-3F2B5C660274}">
  <dimension ref="A1:N11"/>
  <sheetViews>
    <sheetView tabSelected="1" workbookViewId="0">
      <selection activeCell="R10" sqref="R10"/>
    </sheetView>
  </sheetViews>
  <sheetFormatPr defaultRowHeight="15" x14ac:dyDescent="0.25"/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30</v>
      </c>
      <c r="M1" s="3" t="s">
        <v>31</v>
      </c>
      <c r="N1" s="3" t="s">
        <v>32</v>
      </c>
    </row>
    <row r="2" spans="1:14" ht="30" x14ac:dyDescent="0.25">
      <c r="A2" s="1" t="s">
        <v>10</v>
      </c>
      <c r="B2" s="1" t="s">
        <v>11</v>
      </c>
      <c r="C2" s="1" t="s">
        <v>12</v>
      </c>
      <c r="D2" s="1">
        <v>14.5</v>
      </c>
      <c r="E2" s="1">
        <v>1800</v>
      </c>
      <c r="F2" s="1">
        <v>20</v>
      </c>
      <c r="G2" s="1">
        <v>4</v>
      </c>
      <c r="H2" s="1">
        <v>18.600000000000001</v>
      </c>
      <c r="I2" s="1">
        <v>3.2</v>
      </c>
      <c r="J2" s="1">
        <v>180</v>
      </c>
      <c r="L2">
        <f>J2/D2</f>
        <v>12.413793103448276</v>
      </c>
      <c r="M2">
        <f>H2+I2</f>
        <v>21.8</v>
      </c>
      <c r="N2">
        <f>F2/H2</f>
        <v>1.075268817204301</v>
      </c>
    </row>
    <row r="3" spans="1:14" ht="30" x14ac:dyDescent="0.25">
      <c r="A3" s="1" t="s">
        <v>13</v>
      </c>
      <c r="B3" s="1" t="s">
        <v>14</v>
      </c>
      <c r="C3" s="1" t="s">
        <v>15</v>
      </c>
      <c r="D3" s="1">
        <v>9</v>
      </c>
      <c r="E3" s="1">
        <v>1750</v>
      </c>
      <c r="F3" s="1">
        <v>13</v>
      </c>
      <c r="G3" s="1">
        <v>7</v>
      </c>
      <c r="H3" s="1">
        <v>11.5</v>
      </c>
      <c r="I3" s="1">
        <v>6.8</v>
      </c>
      <c r="J3" s="1">
        <v>155</v>
      </c>
      <c r="L3">
        <f t="shared" ref="L3:L11" si="0">J3/D3</f>
        <v>17.222222222222221</v>
      </c>
      <c r="M3">
        <f t="shared" ref="M3:M11" si="1">H3+I3</f>
        <v>18.3</v>
      </c>
      <c r="N3">
        <f t="shared" ref="N3:N11" si="2">F3/H3</f>
        <v>1.1304347826086956</v>
      </c>
    </row>
    <row r="4" spans="1:14" ht="30" x14ac:dyDescent="0.25">
      <c r="A4" s="1" t="s">
        <v>16</v>
      </c>
      <c r="B4" s="1" t="s">
        <v>17</v>
      </c>
      <c r="C4" s="1" t="s">
        <v>15</v>
      </c>
      <c r="D4" s="1">
        <v>9.5</v>
      </c>
      <c r="E4" s="1">
        <v>1650</v>
      </c>
      <c r="F4" s="1">
        <v>10</v>
      </c>
      <c r="G4" s="1">
        <v>8</v>
      </c>
      <c r="H4" s="1">
        <v>9.4</v>
      </c>
      <c r="I4" s="1">
        <v>7.6</v>
      </c>
      <c r="J4" s="1">
        <v>145</v>
      </c>
      <c r="L4">
        <f t="shared" si="0"/>
        <v>15.263157894736842</v>
      </c>
      <c r="M4">
        <f t="shared" si="1"/>
        <v>17</v>
      </c>
      <c r="N4">
        <f t="shared" si="2"/>
        <v>1.0638297872340425</v>
      </c>
    </row>
    <row r="5" spans="1:14" ht="30" x14ac:dyDescent="0.25">
      <c r="A5" s="1" t="s">
        <v>18</v>
      </c>
      <c r="B5" s="1" t="s">
        <v>19</v>
      </c>
      <c r="C5" s="1" t="s">
        <v>15</v>
      </c>
      <c r="D5" s="1">
        <v>12.5</v>
      </c>
      <c r="E5" s="1">
        <v>1600</v>
      </c>
      <c r="F5" s="1">
        <v>14</v>
      </c>
      <c r="G5" s="1">
        <v>5</v>
      </c>
      <c r="H5" s="1">
        <v>12.2</v>
      </c>
      <c r="I5" s="1">
        <v>5.0999999999999996</v>
      </c>
      <c r="J5" s="1">
        <v>150</v>
      </c>
      <c r="L5">
        <f t="shared" si="0"/>
        <v>12</v>
      </c>
      <c r="M5">
        <f t="shared" si="1"/>
        <v>17.299999999999997</v>
      </c>
      <c r="N5">
        <f t="shared" si="2"/>
        <v>1.1475409836065575</v>
      </c>
    </row>
    <row r="6" spans="1:14" ht="30" x14ac:dyDescent="0.25">
      <c r="A6" s="1" t="s">
        <v>20</v>
      </c>
      <c r="B6" s="1" t="s">
        <v>11</v>
      </c>
      <c r="C6" s="1" t="s">
        <v>15</v>
      </c>
      <c r="D6" s="1">
        <v>8.5</v>
      </c>
      <c r="E6" s="1">
        <v>1550</v>
      </c>
      <c r="F6" s="1">
        <v>9</v>
      </c>
      <c r="G6" s="1">
        <v>6</v>
      </c>
      <c r="H6" s="1">
        <v>7.8</v>
      </c>
      <c r="I6" s="1">
        <v>6.3</v>
      </c>
      <c r="J6" s="1">
        <v>132</v>
      </c>
      <c r="L6">
        <f t="shared" si="0"/>
        <v>15.529411764705882</v>
      </c>
      <c r="M6">
        <f t="shared" si="1"/>
        <v>14.1</v>
      </c>
      <c r="N6">
        <f t="shared" si="2"/>
        <v>1.153846153846154</v>
      </c>
    </row>
    <row r="7" spans="1:14" ht="30" x14ac:dyDescent="0.25">
      <c r="A7" s="1" t="s">
        <v>21</v>
      </c>
      <c r="B7" s="1" t="s">
        <v>22</v>
      </c>
      <c r="C7" s="1" t="s">
        <v>12</v>
      </c>
      <c r="D7" s="1">
        <v>8</v>
      </c>
      <c r="E7" s="1">
        <v>1700</v>
      </c>
      <c r="F7" s="1">
        <v>11</v>
      </c>
      <c r="G7" s="1">
        <v>9</v>
      </c>
      <c r="H7" s="1">
        <v>9.9</v>
      </c>
      <c r="I7" s="1">
        <v>7.4</v>
      </c>
      <c r="J7" s="1">
        <v>148</v>
      </c>
      <c r="L7">
        <f t="shared" si="0"/>
        <v>18.5</v>
      </c>
      <c r="M7">
        <f t="shared" si="1"/>
        <v>17.3</v>
      </c>
      <c r="N7">
        <f t="shared" si="2"/>
        <v>1.1111111111111112</v>
      </c>
    </row>
    <row r="8" spans="1:14" ht="30" x14ac:dyDescent="0.25">
      <c r="A8" s="1" t="s">
        <v>23</v>
      </c>
      <c r="B8" s="1" t="s">
        <v>24</v>
      </c>
      <c r="C8" s="1" t="s">
        <v>15</v>
      </c>
      <c r="D8" s="1">
        <v>7</v>
      </c>
      <c r="E8" s="1">
        <v>1600</v>
      </c>
      <c r="F8" s="1">
        <v>8</v>
      </c>
      <c r="G8" s="1">
        <v>7</v>
      </c>
      <c r="H8" s="1">
        <v>6.5</v>
      </c>
      <c r="I8" s="1">
        <v>6.2</v>
      </c>
      <c r="J8" s="1">
        <v>128</v>
      </c>
      <c r="L8">
        <f t="shared" si="0"/>
        <v>18.285714285714285</v>
      </c>
      <c r="M8">
        <f t="shared" si="1"/>
        <v>12.7</v>
      </c>
      <c r="N8">
        <f t="shared" si="2"/>
        <v>1.2307692307692308</v>
      </c>
    </row>
    <row r="9" spans="1:14" ht="45" x14ac:dyDescent="0.25">
      <c r="A9" s="1" t="s">
        <v>25</v>
      </c>
      <c r="B9" s="1" t="s">
        <v>26</v>
      </c>
      <c r="C9" s="1" t="s">
        <v>12</v>
      </c>
      <c r="D9" s="1">
        <v>10</v>
      </c>
      <c r="E9" s="1">
        <v>1650</v>
      </c>
      <c r="F9" s="1">
        <v>12</v>
      </c>
      <c r="G9" s="1">
        <v>6</v>
      </c>
      <c r="H9" s="1">
        <v>10.3</v>
      </c>
      <c r="I9" s="1">
        <v>5.5</v>
      </c>
      <c r="J9" s="1">
        <v>142</v>
      </c>
      <c r="L9">
        <f t="shared" si="0"/>
        <v>14.2</v>
      </c>
      <c r="M9">
        <f t="shared" si="1"/>
        <v>15.8</v>
      </c>
      <c r="N9">
        <f t="shared" si="2"/>
        <v>1.1650485436893203</v>
      </c>
    </row>
    <row r="10" spans="1:14" ht="30" x14ac:dyDescent="0.25">
      <c r="A10" s="1" t="s">
        <v>27</v>
      </c>
      <c r="B10" s="1" t="s">
        <v>19</v>
      </c>
      <c r="C10" s="1" t="s">
        <v>12</v>
      </c>
      <c r="D10" s="1">
        <v>8</v>
      </c>
      <c r="E10" s="1">
        <v>1300</v>
      </c>
      <c r="F10" s="1">
        <v>9</v>
      </c>
      <c r="G10" s="1">
        <v>6</v>
      </c>
      <c r="H10" s="1">
        <v>10.5</v>
      </c>
      <c r="I10" s="1">
        <v>4.2</v>
      </c>
      <c r="J10" s="1">
        <v>112</v>
      </c>
      <c r="L10">
        <f t="shared" si="0"/>
        <v>14</v>
      </c>
      <c r="M10">
        <f t="shared" si="1"/>
        <v>14.7</v>
      </c>
      <c r="N10">
        <f t="shared" si="2"/>
        <v>0.8571428571428571</v>
      </c>
    </row>
    <row r="11" spans="1:14" ht="30" x14ac:dyDescent="0.25">
      <c r="A11" s="1" t="s">
        <v>28</v>
      </c>
      <c r="B11" s="1" t="s">
        <v>26</v>
      </c>
      <c r="C11" s="1" t="s">
        <v>29</v>
      </c>
      <c r="D11" s="1">
        <v>5.5</v>
      </c>
      <c r="E11" s="1">
        <v>1750</v>
      </c>
      <c r="F11" s="1">
        <v>3</v>
      </c>
      <c r="G11" s="1">
        <v>8</v>
      </c>
      <c r="H11" s="1">
        <v>3.2</v>
      </c>
      <c r="I11" s="1">
        <v>6.1</v>
      </c>
      <c r="J11" s="1">
        <v>120</v>
      </c>
      <c r="L11">
        <f t="shared" si="0"/>
        <v>21.818181818181817</v>
      </c>
      <c r="M11">
        <f t="shared" si="1"/>
        <v>9.3000000000000007</v>
      </c>
      <c r="N11">
        <f t="shared" si="2"/>
        <v>0.9375</v>
      </c>
    </row>
  </sheetData>
  <conditionalFormatting sqref="L1">
    <cfRule type="top10" dxfId="6" priority="5" rank="3"/>
  </conditionalFormatting>
  <conditionalFormatting sqref="L2:L11">
    <cfRule type="top10" dxfId="5" priority="4" rank="3"/>
  </conditionalFormatting>
  <conditionalFormatting sqref="M2:M11">
    <cfRule type="colorScale" priority="2">
      <colorScale>
        <cfvo type="min"/>
        <cfvo type="max"/>
        <color rgb="FF00B0F0"/>
        <color rgb="FF002060"/>
      </colorScale>
    </cfRule>
  </conditionalFormatting>
  <conditionalFormatting sqref="N2:N11">
    <cfRule type="expression" dxfId="0" priority="1">
      <formula>N2&gt;1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Sheru Ahmad</dc:creator>
  <cp:lastModifiedBy>Sheru Ahmad</cp:lastModifiedBy>
  <dcterms:created xsi:type="dcterms:W3CDTF">2025-10-11T16:34:50Z</dcterms:created>
  <dcterms:modified xsi:type="dcterms:W3CDTF">2025-10-11T16:47:33Z</dcterms:modified>
</cp:coreProperties>
</file>